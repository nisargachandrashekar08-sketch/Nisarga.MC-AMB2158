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4"/>
    <sheet state="visible" name="Iteration-1" sheetId="2" r:id="rId5"/>
    <sheet state="visible" name="Iteration-2" sheetId="3" r:id="rId6"/>
    <sheet state="visible" name="Iteration-3" sheetId="4" r:id="rId7"/>
    <sheet state="visible" name="Sheet4" sheetId="5" r:id="rId8"/>
    <sheet state="visible" name="Sheet5" sheetId="6" r:id="rId9"/>
  </sheets>
  <definedNames/>
  <calcPr/>
  <extLst>
    <ext uri="GoogleSheetsCustomDataVersion2">
      <go:sheetsCustomData xmlns:go="http://customooxmlschemas.google.com/" r:id="rId10" roundtripDataChecksum="EamGs0bQk7L8ksHPiRgiFBsun9UxaxPaFwu54WdXJ18="/>
    </ext>
  </extLst>
</workbook>
</file>

<file path=xl/sharedStrings.xml><?xml version="1.0" encoding="utf-8"?>
<sst xmlns="http://schemas.openxmlformats.org/spreadsheetml/2006/main" count="80" uniqueCount="30">
  <si>
    <t>i</t>
  </si>
  <si>
    <t>Temperature (°C)</t>
  </si>
  <si>
    <t>Yield (%)</t>
  </si>
  <si>
    <t>Initialization</t>
  </si>
  <si>
    <t>Update Weights</t>
  </si>
  <si>
    <t>β_0</t>
  </si>
  <si>
    <t>β_0= β_0-αg_0</t>
  </si>
  <si>
    <t>β_1</t>
  </si>
  <si>
    <t>β_1= β_1-αg_1</t>
  </si>
  <si>
    <t>α</t>
  </si>
  <si>
    <t>Temperature (x)</t>
  </si>
  <si>
    <t>y</t>
  </si>
  <si>
    <t>Z</t>
  </si>
  <si>
    <t>exp</t>
  </si>
  <si>
    <t>p</t>
  </si>
  <si>
    <t>Error= p-y</t>
  </si>
  <si>
    <t>g_0(Intercept gradient)</t>
  </si>
  <si>
    <t>(p-y)x</t>
  </si>
  <si>
    <t>Slope Gradient (g_1)</t>
  </si>
  <si>
    <t>Updated Model</t>
  </si>
  <si>
    <t>z=0+0.045x</t>
  </si>
  <si>
    <t>z=−0.0026−0.084x</t>
  </si>
  <si>
    <t>Final Model</t>
  </si>
  <si>
    <t>z=−36.7458+0.5653x</t>
  </si>
  <si>
    <t xml:space="preserve">p(x) = </t>
  </si>
  <si>
    <t>1/(1+e^-z)</t>
  </si>
  <si>
    <t>Humidity</t>
  </si>
  <si>
    <t>Linear Predictor (z)</t>
  </si>
  <si>
    <t>Probability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</si>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</sst>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4.0"/>
      <color theme="1"/>
      <name val="Arial"/>
    </font>
    <font>
      <color theme="1"/>
      <name val="Arial"/>
    </font>
    <font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b/>
      <sz val="13.0"/>
      <color theme="1"/>
      <name val="Arial"/>
    </font>
    <font>
      <b/>
      <sz val="13.0"/>
      <color theme="1"/>
      <name val="Aptos Narrow"/>
      <scheme val="minor"/>
    </font>
    <font>
      <color theme="1"/>
      <name val="Aptos Narrow"/>
    </font>
    <font>
      <sz val="15.0"/>
      <color theme="1"/>
      <name val="Aptos Narrow"/>
    </font>
    <font>
      <sz val="15.0"/>
      <color theme="1"/>
      <name val="Arial"/>
    </font>
    <font>
      <sz val="15.0"/>
      <color theme="1"/>
      <name val="Aptos Narrow"/>
      <scheme val="minor"/>
    </font>
    <font>
      <sz val="11.0"/>
      <color theme="1"/>
      <name val="Arial"/>
    </font>
    <font>
      <sz val="14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0" fontId="7" numFmtId="0" xfId="0" applyAlignment="1" applyFont="1">
      <alignment shrinkToFit="0" wrapText="1"/>
    </xf>
    <xf borderId="0" fillId="0" fontId="10" numFmtId="0" xfId="0" applyFont="1"/>
    <xf borderId="0" fillId="0" fontId="7" numFmtId="0" xfId="0" applyFont="1"/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Sheet4!$A$2:$A$7</c:f>
            </c:numRef>
          </c:xVal>
          <c:yVal>
            <c:numRef>
              <c:f>Sheet4!$C$2:$C$7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660286"/>
        <c:axId val="1466936397"/>
      </c:scatterChart>
      <c:valAx>
        <c:axId val="16856602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6936397"/>
      </c:valAx>
      <c:valAx>
        <c:axId val="1466936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566028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Sheet5!$A$2:$A$21</c:f>
            </c:numRef>
          </c:xVal>
          <c:yVal>
            <c:numRef>
              <c:f>Sheet5!$C$2:$C$21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612036"/>
        <c:axId val="415992863"/>
      </c:scatterChart>
      <c:valAx>
        <c:axId val="9156120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5992863"/>
      </c:valAx>
      <c:valAx>
        <c:axId val="415992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5612036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171450</xdr:rowOff>
    </xdr:from>
    <xdr:ext cx="4905375" cy="2981325"/>
    <xdr:graphicFrame>
      <xdr:nvGraphicFramePr>
        <xdr:cNvPr id="5651662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171450</xdr:rowOff>
    </xdr:from>
    <xdr:ext cx="4953000" cy="2981325"/>
    <xdr:graphicFrame>
      <xdr:nvGraphicFramePr>
        <xdr:cNvPr id="178605709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26" width="8.63"/>
  </cols>
  <sheetData>
    <row r="1">
      <c r="A1" s="1"/>
      <c r="B1" s="1"/>
      <c r="C1" s="1"/>
    </row>
    <row r="2">
      <c r="A2" s="2" t="s">
        <v>0</v>
      </c>
      <c r="B2" s="3" t="s">
        <v>1</v>
      </c>
      <c r="C2" s="3" t="s">
        <v>2</v>
      </c>
    </row>
    <row r="3">
      <c r="A3" s="2">
        <v>1.0</v>
      </c>
      <c r="B3" s="3">
        <v>40.0</v>
      </c>
      <c r="C3" s="2">
        <v>0.0</v>
      </c>
    </row>
    <row r="4">
      <c r="A4" s="2">
        <v>2.0</v>
      </c>
      <c r="B4" s="3">
        <v>50.0</v>
      </c>
      <c r="C4" s="2">
        <v>0.0</v>
      </c>
    </row>
    <row r="5">
      <c r="A5" s="2">
        <v>3.0</v>
      </c>
      <c r="B5" s="3">
        <v>60.0</v>
      </c>
      <c r="C5" s="2">
        <v>0.0</v>
      </c>
    </row>
    <row r="6">
      <c r="A6" s="2">
        <v>4.0</v>
      </c>
      <c r="B6" s="3">
        <v>70.0</v>
      </c>
      <c r="C6" s="2">
        <v>1.0</v>
      </c>
    </row>
    <row r="7">
      <c r="A7" s="4">
        <v>5.0</v>
      </c>
      <c r="B7" s="5">
        <v>80.0</v>
      </c>
      <c r="C7" s="4">
        <v>1.0</v>
      </c>
    </row>
    <row r="8">
      <c r="A8" s="4">
        <v>6.0</v>
      </c>
      <c r="B8" s="5">
        <v>90.0</v>
      </c>
      <c r="C8" s="4">
        <v>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A2:A6">
    <cfRule type="notContainsBlanks" dxfId="0" priority="1">
      <formula>LEN(TRIM(A2))&gt;0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8.5"/>
    <col customWidth="1" min="3" max="3" width="3.63"/>
    <col customWidth="1" min="4" max="4" width="6.63"/>
    <col customWidth="1" min="5" max="5" width="14.88"/>
    <col customWidth="1" min="6" max="6" width="7.88"/>
    <col customWidth="1" min="7" max="7" width="10.63"/>
    <col customWidth="1" min="8" max="8" width="11.88"/>
    <col customWidth="1" min="9" max="9" width="6.0"/>
    <col customWidth="1" min="10" max="10" width="18.63"/>
    <col customWidth="1" min="11" max="11" width="15.25"/>
    <col customWidth="1" min="12" max="12" width="18.63"/>
    <col customWidth="1" min="13" max="26" width="8.63"/>
  </cols>
  <sheetData>
    <row r="2">
      <c r="A2" s="6" t="s">
        <v>3</v>
      </c>
      <c r="B2" s="6"/>
      <c r="C2" s="6"/>
      <c r="D2" s="6"/>
      <c r="E2" s="6" t="s">
        <v>4</v>
      </c>
      <c r="F2" s="6"/>
    </row>
    <row r="3">
      <c r="A3" s="6" t="s">
        <v>5</v>
      </c>
      <c r="B3" s="4">
        <v>0.0</v>
      </c>
      <c r="C3" s="6"/>
      <c r="D3" s="6"/>
      <c r="E3" s="6" t="s">
        <v>6</v>
      </c>
      <c r="F3" s="6"/>
    </row>
    <row r="4">
      <c r="A4" s="6" t="s">
        <v>7</v>
      </c>
      <c r="B4" s="4">
        <v>0.0</v>
      </c>
      <c r="C4" s="6"/>
      <c r="D4" s="6"/>
      <c r="E4" s="6" t="s">
        <v>8</v>
      </c>
      <c r="F4" s="6"/>
    </row>
    <row r="5">
      <c r="A5" s="6" t="s">
        <v>9</v>
      </c>
      <c r="B5" s="7">
        <v>0.002</v>
      </c>
      <c r="C5" s="6"/>
      <c r="D5" s="6"/>
      <c r="E5" s="6"/>
      <c r="F5" s="6"/>
    </row>
    <row r="7">
      <c r="A7" s="8" t="s">
        <v>0</v>
      </c>
      <c r="B7" s="8" t="s">
        <v>10</v>
      </c>
      <c r="C7" s="8" t="s">
        <v>11</v>
      </c>
      <c r="D7" s="9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5</v>
      </c>
      <c r="L7" s="8" t="s">
        <v>7</v>
      </c>
    </row>
    <row r="8">
      <c r="A8" s="8">
        <v>1.0</v>
      </c>
      <c r="B8" s="10">
        <v>40.0</v>
      </c>
      <c r="C8" s="11">
        <v>0.0</v>
      </c>
      <c r="D8" s="9">
        <f>B3+B4*B8</f>
        <v>0</v>
      </c>
      <c r="E8" s="12">
        <f t="shared" ref="E8:E13" si="1">EXP(-D8)</f>
        <v>1</v>
      </c>
      <c r="F8" s="12">
        <f t="shared" ref="F8:F13" si="2">1/(1+E8)</f>
        <v>0.5</v>
      </c>
      <c r="G8" s="9">
        <f>F8-C13</f>
        <v>-0.5</v>
      </c>
      <c r="H8" s="9">
        <f>SUM(G8:G13)</f>
        <v>-1</v>
      </c>
      <c r="I8" s="9">
        <f t="shared" ref="I8:I13" si="3">G8*B8</f>
        <v>-20</v>
      </c>
      <c r="J8" s="9">
        <f>SUM(I8:I13)</f>
        <v>-85</v>
      </c>
      <c r="K8" s="9">
        <f>B3-B5*H8</f>
        <v>0.002</v>
      </c>
      <c r="L8" s="13">
        <f>B4-B5*J8</f>
        <v>0.17</v>
      </c>
    </row>
    <row r="9">
      <c r="A9" s="8">
        <v>2.0</v>
      </c>
      <c r="B9" s="10">
        <v>50.0</v>
      </c>
      <c r="C9" s="11">
        <v>0.0</v>
      </c>
      <c r="D9" s="9">
        <f>B3+B4*B9</f>
        <v>0</v>
      </c>
      <c r="E9" s="12">
        <f t="shared" si="1"/>
        <v>1</v>
      </c>
      <c r="F9" s="12">
        <f t="shared" si="2"/>
        <v>0.5</v>
      </c>
      <c r="G9" s="9">
        <f t="shared" ref="G9:G13" si="4">F9-C9</f>
        <v>0.5</v>
      </c>
      <c r="H9" s="12"/>
      <c r="I9" s="9">
        <f t="shared" si="3"/>
        <v>25</v>
      </c>
      <c r="J9" s="12"/>
      <c r="K9" s="12"/>
      <c r="L9" s="14"/>
    </row>
    <row r="10">
      <c r="A10" s="8">
        <v>3.0</v>
      </c>
      <c r="B10" s="10">
        <v>60.0</v>
      </c>
      <c r="C10" s="11">
        <v>0.0</v>
      </c>
      <c r="D10" s="9">
        <f>B3+B4*B10</f>
        <v>0</v>
      </c>
      <c r="E10" s="12">
        <f t="shared" si="1"/>
        <v>1</v>
      </c>
      <c r="F10" s="12">
        <f t="shared" si="2"/>
        <v>0.5</v>
      </c>
      <c r="G10" s="9">
        <f t="shared" si="4"/>
        <v>0.5</v>
      </c>
      <c r="H10" s="12"/>
      <c r="I10" s="9">
        <f t="shared" si="3"/>
        <v>30</v>
      </c>
      <c r="J10" s="12"/>
      <c r="K10" s="12"/>
      <c r="L10" s="14"/>
    </row>
    <row r="11">
      <c r="A11" s="8">
        <v>4.0</v>
      </c>
      <c r="B11" s="10">
        <v>70.0</v>
      </c>
      <c r="C11" s="11">
        <v>1.0</v>
      </c>
      <c r="D11" s="9">
        <f>B3+B4*B11</f>
        <v>0</v>
      </c>
      <c r="E11" s="12">
        <f t="shared" si="1"/>
        <v>1</v>
      </c>
      <c r="F11" s="12">
        <f t="shared" si="2"/>
        <v>0.5</v>
      </c>
      <c r="G11" s="9">
        <f t="shared" si="4"/>
        <v>-0.5</v>
      </c>
      <c r="H11" s="12"/>
      <c r="I11" s="9">
        <f t="shared" si="3"/>
        <v>-35</v>
      </c>
      <c r="J11" s="12"/>
      <c r="K11" s="12"/>
      <c r="L11" s="14"/>
    </row>
    <row r="12">
      <c r="A12" s="8">
        <v>5.0</v>
      </c>
      <c r="B12" s="15">
        <v>80.0</v>
      </c>
      <c r="C12" s="15">
        <v>1.0</v>
      </c>
      <c r="D12" s="9">
        <f>B3+B4*B12</f>
        <v>0</v>
      </c>
      <c r="E12" s="12">
        <f t="shared" si="1"/>
        <v>1</v>
      </c>
      <c r="F12" s="12">
        <f t="shared" si="2"/>
        <v>0.5</v>
      </c>
      <c r="G12" s="9">
        <f t="shared" si="4"/>
        <v>-0.5</v>
      </c>
      <c r="H12" s="12"/>
      <c r="I12" s="9">
        <f t="shared" si="3"/>
        <v>-40</v>
      </c>
      <c r="J12" s="12"/>
      <c r="K12" s="12"/>
      <c r="L12" s="14"/>
    </row>
    <row r="13">
      <c r="A13" s="8">
        <v>6.0</v>
      </c>
      <c r="B13" s="16">
        <v>90.0</v>
      </c>
      <c r="C13" s="15">
        <v>1.0</v>
      </c>
      <c r="D13" s="9">
        <f>B3+B4*B13</f>
        <v>0</v>
      </c>
      <c r="E13" s="12">
        <f t="shared" si="1"/>
        <v>1</v>
      </c>
      <c r="F13" s="12">
        <f t="shared" si="2"/>
        <v>0.5</v>
      </c>
      <c r="G13" s="9">
        <f t="shared" si="4"/>
        <v>-0.5</v>
      </c>
      <c r="H13" s="12"/>
      <c r="I13" s="9">
        <f t="shared" si="3"/>
        <v>-45</v>
      </c>
      <c r="J13" s="12"/>
      <c r="K13" s="12"/>
      <c r="L13" s="14"/>
    </row>
    <row r="17">
      <c r="F17" s="17" t="s">
        <v>19</v>
      </c>
      <c r="G17" s="18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8.5"/>
    <col customWidth="1" min="3" max="3" width="2.25"/>
    <col customWidth="1" min="4" max="4" width="6.63"/>
    <col customWidth="1" min="5" max="5" width="18.88"/>
    <col customWidth="1" min="6" max="6" width="12.75"/>
    <col customWidth="1" min="7" max="7" width="19.5"/>
    <col customWidth="1" min="8" max="8" width="18.25"/>
    <col customWidth="1" min="9" max="9" width="17.38"/>
    <col customWidth="1" min="10" max="10" width="11.75"/>
    <col customWidth="1" min="11" max="11" width="15.38"/>
    <col customWidth="1" min="12" max="12" width="13.38"/>
    <col customWidth="1" min="13" max="26" width="8.63"/>
  </cols>
  <sheetData>
    <row r="2">
      <c r="A2" s="4" t="s">
        <v>3</v>
      </c>
      <c r="E2" s="18" t="s">
        <v>4</v>
      </c>
    </row>
    <row r="3">
      <c r="A3" s="19" t="s">
        <v>5</v>
      </c>
      <c r="B3" s="4">
        <v>0.002</v>
      </c>
      <c r="E3" s="19" t="s">
        <v>6</v>
      </c>
    </row>
    <row r="4">
      <c r="A4" s="19" t="s">
        <v>7</v>
      </c>
      <c r="B4" s="4">
        <v>0.17</v>
      </c>
      <c r="E4" s="19" t="s">
        <v>8</v>
      </c>
    </row>
    <row r="5">
      <c r="A5" s="18" t="s">
        <v>9</v>
      </c>
      <c r="B5" s="4">
        <v>0.002</v>
      </c>
    </row>
    <row r="7">
      <c r="A7" s="20" t="s">
        <v>0</v>
      </c>
      <c r="B7" s="8" t="s">
        <v>10</v>
      </c>
      <c r="C7" s="8" t="s">
        <v>11</v>
      </c>
      <c r="D7" s="13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5</v>
      </c>
      <c r="L7" s="8" t="s">
        <v>7</v>
      </c>
    </row>
    <row r="8">
      <c r="A8" s="21">
        <v>1.0</v>
      </c>
      <c r="B8" s="22">
        <v>40.0</v>
      </c>
      <c r="C8" s="23">
        <v>0.0</v>
      </c>
      <c r="D8" s="13">
        <f>B3+B4*B8</f>
        <v>6.802</v>
      </c>
      <c r="E8" s="14">
        <f t="shared" ref="E8:E13" si="1">EXP(-D8)</f>
        <v>0.001111549824</v>
      </c>
      <c r="F8" s="14">
        <f t="shared" ref="F8:F13" si="2">1/(1+E8)</f>
        <v>0.9988896843</v>
      </c>
      <c r="G8" s="13">
        <f t="shared" ref="G8:G13" si="3">F8-C8</f>
        <v>0.9988896843</v>
      </c>
      <c r="H8" s="13">
        <f>SUM(G8:G13)</f>
        <v>2.998641328</v>
      </c>
      <c r="I8" s="13">
        <f t="shared" ref="I8:I13" si="4">G8*B8</f>
        <v>39.95558737</v>
      </c>
      <c r="J8" s="13">
        <f>SUM(I8:I13)</f>
        <v>149.9426169</v>
      </c>
      <c r="K8" s="13">
        <f>B3-B5*H8</f>
        <v>-0.003997282656</v>
      </c>
      <c r="L8" s="13">
        <f>B4-B5*J8</f>
        <v>-0.1298852338</v>
      </c>
    </row>
    <row r="9">
      <c r="A9" s="21">
        <v>2.0</v>
      </c>
      <c r="B9" s="22">
        <v>50.0</v>
      </c>
      <c r="C9" s="23">
        <v>0.0</v>
      </c>
      <c r="D9" s="13">
        <f>B3+B4*B9</f>
        <v>8.502</v>
      </c>
      <c r="E9" s="14">
        <f t="shared" si="1"/>
        <v>0.0002030618389</v>
      </c>
      <c r="F9" s="14">
        <f t="shared" si="2"/>
        <v>0.9997969794</v>
      </c>
      <c r="G9" s="13">
        <f t="shared" si="3"/>
        <v>0.9997969794</v>
      </c>
      <c r="H9" s="14"/>
      <c r="I9" s="13">
        <f t="shared" si="4"/>
        <v>49.98984897</v>
      </c>
      <c r="J9" s="14"/>
      <c r="K9" s="14"/>
      <c r="L9" s="14"/>
    </row>
    <row r="10">
      <c r="A10" s="21">
        <v>3.0</v>
      </c>
      <c r="B10" s="22">
        <v>60.0</v>
      </c>
      <c r="C10" s="23">
        <v>0.0</v>
      </c>
      <c r="D10" s="13">
        <f>B3+B4*B10</f>
        <v>10.202</v>
      </c>
      <c r="E10" s="14">
        <f t="shared" si="1"/>
        <v>0.00003709605234</v>
      </c>
      <c r="F10" s="14">
        <f t="shared" si="2"/>
        <v>0.9999629053</v>
      </c>
      <c r="G10" s="13">
        <f t="shared" si="3"/>
        <v>0.9999629053</v>
      </c>
      <c r="H10" s="14"/>
      <c r="I10" s="13">
        <f t="shared" si="4"/>
        <v>59.99777432</v>
      </c>
      <c r="J10" s="14"/>
      <c r="K10" s="14"/>
      <c r="L10" s="14"/>
    </row>
    <row r="11">
      <c r="A11" s="21">
        <v>4.0</v>
      </c>
      <c r="B11" s="22">
        <v>70.0</v>
      </c>
      <c r="C11" s="23">
        <v>1.0</v>
      </c>
      <c r="D11" s="13">
        <f>B3+B4*B11</f>
        <v>11.902</v>
      </c>
      <c r="E11" s="14">
        <f t="shared" si="1"/>
        <v>0.00000677683757</v>
      </c>
      <c r="F11" s="14">
        <f t="shared" si="2"/>
        <v>0.9999932232</v>
      </c>
      <c r="G11" s="13">
        <f t="shared" si="3"/>
        <v>-0.000006776791644</v>
      </c>
      <c r="H11" s="14"/>
      <c r="I11" s="13">
        <f t="shared" si="4"/>
        <v>-0.0004743754151</v>
      </c>
      <c r="J11" s="14"/>
      <c r="K11" s="14"/>
      <c r="L11" s="14"/>
    </row>
    <row r="12">
      <c r="A12" s="21">
        <v>5.0</v>
      </c>
      <c r="B12" s="24">
        <v>80.0</v>
      </c>
      <c r="C12" s="25">
        <v>1.0</v>
      </c>
      <c r="D12" s="13">
        <f>B3+B4*B12</f>
        <v>13.602</v>
      </c>
      <c r="E12" s="14">
        <f t="shared" si="1"/>
        <v>0.000001238016569</v>
      </c>
      <c r="F12" s="14">
        <f t="shared" si="2"/>
        <v>0.999998762</v>
      </c>
      <c r="G12" s="13">
        <f t="shared" si="3"/>
        <v>-0.000001238015036</v>
      </c>
      <c r="H12" s="14"/>
      <c r="I12" s="13">
        <f t="shared" si="4"/>
        <v>-0.00009904120291</v>
      </c>
      <c r="J12" s="14"/>
      <c r="K12" s="14"/>
      <c r="L12" s="14"/>
    </row>
    <row r="13">
      <c r="A13" s="21">
        <v>6.0</v>
      </c>
      <c r="B13" s="24">
        <v>90.0</v>
      </c>
      <c r="C13" s="25">
        <v>1.0</v>
      </c>
      <c r="D13" s="13">
        <f>B3+B4*B13</f>
        <v>15.302</v>
      </c>
      <c r="E13" s="14">
        <f t="shared" si="1"/>
        <v>0.0000002261652297</v>
      </c>
      <c r="F13" s="14">
        <f t="shared" si="2"/>
        <v>0.9999997738</v>
      </c>
      <c r="G13" s="13">
        <f t="shared" si="3"/>
        <v>-0.0000002261651785</v>
      </c>
      <c r="H13" s="14"/>
      <c r="I13" s="13">
        <f t="shared" si="4"/>
        <v>-0.00002035486606</v>
      </c>
      <c r="J13" s="14"/>
      <c r="K13" s="14"/>
      <c r="L13" s="14"/>
    </row>
    <row r="16">
      <c r="G16" s="18" t="s">
        <v>19</v>
      </c>
      <c r="I16" s="18" t="s">
        <v>21</v>
      </c>
    </row>
    <row r="19">
      <c r="F19" s="18" t="s">
        <v>22</v>
      </c>
      <c r="H19" s="18" t="s">
        <v>23</v>
      </c>
    </row>
    <row r="21" ht="15.75" customHeight="1">
      <c r="G21" s="18" t="s">
        <v>24</v>
      </c>
      <c r="H21" s="18" t="s">
        <v>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38"/>
    <col customWidth="1" min="3" max="3" width="2.0"/>
    <col customWidth="1" min="4" max="4" width="12.25"/>
    <col customWidth="1" min="5" max="5" width="14.0"/>
    <col customWidth="1" min="6" max="6" width="17.88"/>
    <col customWidth="1" min="7" max="7" width="15.63"/>
    <col customWidth="1" min="8" max="8" width="18.25"/>
    <col customWidth="1" min="9" max="9" width="16.25"/>
    <col customWidth="1" min="10" max="10" width="11.25"/>
    <col customWidth="1" min="11" max="11" width="14.75"/>
    <col customWidth="1" min="12" max="12" width="12.75"/>
    <col customWidth="1" min="13" max="26" width="8.63"/>
  </cols>
  <sheetData>
    <row r="2">
      <c r="A2" s="4" t="s">
        <v>3</v>
      </c>
      <c r="E2" s="18" t="s">
        <v>4</v>
      </c>
    </row>
    <row r="3">
      <c r="A3" s="19" t="s">
        <v>5</v>
      </c>
      <c r="B3" s="26">
        <v>-0.003997282656</v>
      </c>
      <c r="E3" s="19" t="s">
        <v>6</v>
      </c>
    </row>
    <row r="4">
      <c r="A4" s="19" t="s">
        <v>7</v>
      </c>
      <c r="B4" s="4">
        <v>-0.1298852338</v>
      </c>
      <c r="E4" s="19" t="s">
        <v>8</v>
      </c>
    </row>
    <row r="5">
      <c r="A5" s="18" t="s">
        <v>9</v>
      </c>
      <c r="B5" s="4">
        <v>0.002</v>
      </c>
    </row>
    <row r="7">
      <c r="A7" s="20" t="s">
        <v>0</v>
      </c>
      <c r="B7" s="8" t="s">
        <v>10</v>
      </c>
      <c r="C7" s="8" t="s">
        <v>11</v>
      </c>
      <c r="D7" s="13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5</v>
      </c>
      <c r="L7" s="8" t="s">
        <v>7</v>
      </c>
    </row>
    <row r="8">
      <c r="A8" s="21">
        <v>1.0</v>
      </c>
      <c r="B8" s="21">
        <v>40.0</v>
      </c>
      <c r="C8" s="21">
        <v>0.0</v>
      </c>
      <c r="D8" s="13">
        <f>B3+B4*B8</f>
        <v>-5.199406635</v>
      </c>
      <c r="E8" s="14">
        <f t="shared" ref="E8:E13" si="1">EXP(-D8)</f>
        <v>181.1647131</v>
      </c>
      <c r="F8" s="14">
        <f t="shared" ref="F8:F13" si="2">1/(1+E8)</f>
        <v>0.005489537369</v>
      </c>
      <c r="G8" s="13">
        <f t="shared" ref="G8:G13" si="3">F8-C8</f>
        <v>0.005489537369</v>
      </c>
      <c r="H8" s="13">
        <f>SUM(G8:G13)</f>
        <v>-2.992444876</v>
      </c>
      <c r="I8" s="13">
        <f t="shared" ref="I8:I13" si="4">G8*B8</f>
        <v>0.2195814948</v>
      </c>
      <c r="J8" s="13">
        <f>SUM(I8:I13)</f>
        <v>-239.669538</v>
      </c>
      <c r="K8" s="13">
        <f>B3-B5*H8</f>
        <v>0.001987607096</v>
      </c>
      <c r="L8" s="13">
        <f>B4-B5*J8</f>
        <v>0.3494538422</v>
      </c>
    </row>
    <row r="9">
      <c r="A9" s="21">
        <v>2.0</v>
      </c>
      <c r="B9" s="21">
        <v>50.0</v>
      </c>
      <c r="C9" s="21">
        <v>0.0</v>
      </c>
      <c r="D9" s="13">
        <f>B3+B4*B9</f>
        <v>-6.498258973</v>
      </c>
      <c r="E9" s="14">
        <f t="shared" si="1"/>
        <v>663.9846108</v>
      </c>
      <c r="F9" s="14">
        <f t="shared" si="2"/>
        <v>0.001503794199</v>
      </c>
      <c r="G9" s="13">
        <f t="shared" si="3"/>
        <v>0.001503794199</v>
      </c>
      <c r="H9" s="14"/>
      <c r="I9" s="13">
        <f t="shared" si="4"/>
        <v>0.07518970994</v>
      </c>
      <c r="J9" s="14"/>
      <c r="K9" s="14"/>
      <c r="L9" s="14"/>
    </row>
    <row r="10">
      <c r="A10" s="21">
        <v>3.0</v>
      </c>
      <c r="B10" s="21">
        <v>60.0</v>
      </c>
      <c r="C10" s="21">
        <v>0.0</v>
      </c>
      <c r="D10" s="13">
        <f>B3+B4*B10</f>
        <v>-7.797111311</v>
      </c>
      <c r="E10" s="14">
        <f t="shared" si="1"/>
        <v>2433.56201</v>
      </c>
      <c r="F10" s="14">
        <f t="shared" si="2"/>
        <v>0.0004107515011</v>
      </c>
      <c r="G10" s="13">
        <f t="shared" si="3"/>
        <v>0.0004107515011</v>
      </c>
      <c r="H10" s="14"/>
      <c r="I10" s="13">
        <f t="shared" si="4"/>
        <v>0.02464509007</v>
      </c>
      <c r="J10" s="14"/>
      <c r="K10" s="14"/>
      <c r="L10" s="14"/>
    </row>
    <row r="11">
      <c r="A11" s="21">
        <v>4.0</v>
      </c>
      <c r="B11" s="21">
        <v>70.0</v>
      </c>
      <c r="C11" s="21">
        <v>1.0</v>
      </c>
      <c r="D11" s="13">
        <f>B3+B4*B11</f>
        <v>-9.095963649</v>
      </c>
      <c r="E11" s="14">
        <f t="shared" si="1"/>
        <v>8919.218848</v>
      </c>
      <c r="F11" s="14">
        <f t="shared" si="2"/>
        <v>0.0001121048729</v>
      </c>
      <c r="G11" s="13">
        <f t="shared" si="3"/>
        <v>-0.9998878951</v>
      </c>
      <c r="H11" s="14"/>
      <c r="I11" s="13">
        <f t="shared" si="4"/>
        <v>-69.99215266</v>
      </c>
      <c r="J11" s="14"/>
      <c r="K11" s="14"/>
      <c r="L11" s="14"/>
    </row>
    <row r="12">
      <c r="A12" s="21">
        <v>5.0</v>
      </c>
      <c r="B12" s="21">
        <v>80.0</v>
      </c>
      <c r="C12" s="21">
        <v>1.0</v>
      </c>
      <c r="D12" s="13">
        <f>B3+B4*B12</f>
        <v>-10.39481599</v>
      </c>
      <c r="E12" s="14">
        <f t="shared" si="1"/>
        <v>32689.72171</v>
      </c>
      <c r="F12" s="14">
        <f t="shared" si="2"/>
        <v>0.00003058971928</v>
      </c>
      <c r="G12" s="13">
        <f t="shared" si="3"/>
        <v>-0.9999694103</v>
      </c>
      <c r="H12" s="14"/>
      <c r="I12" s="13">
        <f t="shared" si="4"/>
        <v>-79.99755282</v>
      </c>
      <c r="J12" s="14"/>
      <c r="K12" s="14"/>
      <c r="L12" s="14"/>
    </row>
    <row r="13">
      <c r="A13" s="21">
        <v>6.0</v>
      </c>
      <c r="B13" s="21">
        <v>90.0</v>
      </c>
      <c r="C13" s="21">
        <v>1.0</v>
      </c>
      <c r="D13" s="13">
        <f>B3+B4*B13</f>
        <v>-11.69366832</v>
      </c>
      <c r="E13" s="14">
        <f t="shared" si="1"/>
        <v>119810.7058</v>
      </c>
      <c r="F13" s="14">
        <f t="shared" si="2"/>
        <v>0.000008346429869</v>
      </c>
      <c r="G13" s="13">
        <f t="shared" si="3"/>
        <v>-0.9999916536</v>
      </c>
      <c r="H13" s="14"/>
      <c r="I13" s="13">
        <f t="shared" si="4"/>
        <v>-89.99924882</v>
      </c>
      <c r="J13" s="14"/>
      <c r="K13" s="14"/>
      <c r="L13" s="14"/>
    </row>
    <row r="16">
      <c r="G16" s="18" t="s">
        <v>19</v>
      </c>
      <c r="I16" s="18" t="s">
        <v>21</v>
      </c>
    </row>
    <row r="19">
      <c r="F19" s="18" t="s">
        <v>22</v>
      </c>
      <c r="H19" s="18" t="s">
        <v>23</v>
      </c>
    </row>
    <row r="21" ht="15.75" customHeight="1">
      <c r="G21" s="18" t="s">
        <v>24</v>
      </c>
      <c r="H21" s="18" t="s">
        <v>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7.88"/>
    <col customWidth="1" min="3" max="3" width="10.63"/>
    <col customWidth="1" min="4" max="26" width="8.63"/>
  </cols>
  <sheetData>
    <row r="1">
      <c r="A1" s="27" t="s">
        <v>26</v>
      </c>
      <c r="B1" s="28" t="s">
        <v>27</v>
      </c>
      <c r="C1" s="27" t="s">
        <v>28</v>
      </c>
    </row>
    <row r="2">
      <c r="A2" s="27">
        <v>30.0</v>
      </c>
      <c r="B2" s="28">
        <v>-6.0</v>
      </c>
      <c r="C2" s="27">
        <v>0.002</v>
      </c>
    </row>
    <row r="3">
      <c r="A3" s="27">
        <v>40.0</v>
      </c>
      <c r="B3" s="28">
        <v>-4.0</v>
      </c>
      <c r="C3" s="27">
        <v>0.018</v>
      </c>
    </row>
    <row r="4">
      <c r="A4" s="27">
        <v>50.0</v>
      </c>
      <c r="B4" s="28">
        <v>-2.0</v>
      </c>
      <c r="C4" s="27">
        <v>0.119</v>
      </c>
    </row>
    <row r="5">
      <c r="A5" s="27">
        <v>60.0</v>
      </c>
      <c r="B5" s="27">
        <v>0.0</v>
      </c>
      <c r="C5" s="27">
        <v>0.5</v>
      </c>
    </row>
    <row r="6">
      <c r="A6" s="27">
        <v>70.0</v>
      </c>
      <c r="B6" s="27">
        <v>2.0</v>
      </c>
      <c r="C6" s="27">
        <v>0.881</v>
      </c>
    </row>
    <row r="7">
      <c r="A7" s="27">
        <v>80.0</v>
      </c>
      <c r="B7" s="27">
        <v>4.0</v>
      </c>
      <c r="C7" s="27">
        <v>0.982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3.0"/>
    <col customWidth="1" min="4" max="26" width="8.63"/>
  </cols>
  <sheetData>
    <row r="1">
      <c r="A1" s="29" t="s">
        <v>26</v>
      </c>
      <c r="B1" s="29" t="s">
        <v>29</v>
      </c>
      <c r="C1" s="29" t="s">
        <v>28</v>
      </c>
    </row>
    <row r="2">
      <c r="A2" s="30">
        <v>30.0</v>
      </c>
      <c r="B2" s="30">
        <v>-6.0</v>
      </c>
      <c r="C2" s="30">
        <v>0.002</v>
      </c>
    </row>
    <row r="3">
      <c r="A3" s="30">
        <v>35.0</v>
      </c>
      <c r="B3" s="30">
        <v>-5.0</v>
      </c>
      <c r="C3" s="30">
        <v>0.007</v>
      </c>
    </row>
    <row r="4">
      <c r="A4" s="30">
        <v>40.0</v>
      </c>
      <c r="B4" s="30">
        <v>-4.0</v>
      </c>
      <c r="C4" s="30">
        <v>0.018</v>
      </c>
    </row>
    <row r="5">
      <c r="A5" s="30">
        <v>45.0</v>
      </c>
      <c r="B5" s="30">
        <v>-3.0</v>
      </c>
      <c r="C5" s="30">
        <v>0.047</v>
      </c>
    </row>
    <row r="6">
      <c r="A6" s="30">
        <v>50.0</v>
      </c>
      <c r="B6" s="30">
        <v>-2.0</v>
      </c>
      <c r="C6" s="30">
        <v>0.119</v>
      </c>
    </row>
    <row r="7">
      <c r="A7" s="30">
        <v>52.0</v>
      </c>
      <c r="B7" s="30">
        <v>-1.6</v>
      </c>
      <c r="C7" s="30">
        <v>0.167</v>
      </c>
    </row>
    <row r="8">
      <c r="A8" s="30">
        <v>54.0</v>
      </c>
      <c r="B8" s="30">
        <v>-1.2</v>
      </c>
      <c r="C8" s="30">
        <v>0.231</v>
      </c>
    </row>
    <row r="9">
      <c r="A9" s="30">
        <v>56.0</v>
      </c>
      <c r="B9" s="30">
        <v>-0.8</v>
      </c>
      <c r="C9" s="30">
        <v>0.31</v>
      </c>
    </row>
    <row r="10">
      <c r="A10" s="30">
        <v>58.0</v>
      </c>
      <c r="B10" s="30">
        <v>-0.4</v>
      </c>
      <c r="C10" s="30">
        <v>0.401</v>
      </c>
    </row>
    <row r="11">
      <c r="A11" s="30">
        <v>60.0</v>
      </c>
      <c r="B11" s="30">
        <v>0.0</v>
      </c>
      <c r="C11" s="30">
        <v>0.5</v>
      </c>
    </row>
    <row r="12">
      <c r="A12" s="30">
        <v>62.0</v>
      </c>
      <c r="B12" s="30">
        <v>0.4</v>
      </c>
      <c r="C12" s="30">
        <v>0.598</v>
      </c>
    </row>
    <row r="13">
      <c r="A13" s="30">
        <v>64.0</v>
      </c>
      <c r="B13" s="30">
        <v>0.8</v>
      </c>
      <c r="C13" s="30">
        <v>0.69</v>
      </c>
    </row>
    <row r="14">
      <c r="A14" s="30">
        <v>66.0</v>
      </c>
      <c r="B14" s="30">
        <v>1.2</v>
      </c>
      <c r="C14" s="30">
        <v>0.769</v>
      </c>
    </row>
    <row r="15">
      <c r="A15" s="30">
        <v>68.0</v>
      </c>
      <c r="B15" s="30">
        <v>1.6</v>
      </c>
      <c r="C15" s="30">
        <v>0.832</v>
      </c>
    </row>
    <row r="16">
      <c r="A16" s="30">
        <v>70.0</v>
      </c>
      <c r="B16" s="30">
        <v>2.0</v>
      </c>
      <c r="C16" s="30">
        <v>0.881</v>
      </c>
    </row>
    <row r="17">
      <c r="A17" s="30">
        <v>72.0</v>
      </c>
      <c r="B17" s="30">
        <v>2.4</v>
      </c>
      <c r="C17" s="30">
        <v>0.917</v>
      </c>
    </row>
    <row r="18">
      <c r="A18" s="30">
        <v>74.0</v>
      </c>
      <c r="B18" s="30">
        <v>2.8</v>
      </c>
      <c r="C18" s="30">
        <v>0.943</v>
      </c>
    </row>
    <row r="19">
      <c r="A19" s="30">
        <v>76.0</v>
      </c>
      <c r="B19" s="30">
        <v>3.2</v>
      </c>
      <c r="C19" s="30">
        <v>0.96</v>
      </c>
    </row>
    <row r="20">
      <c r="A20" s="30">
        <v>78.0</v>
      </c>
      <c r="B20" s="30">
        <v>3.6</v>
      </c>
      <c r="C20" s="30">
        <v>0.973</v>
      </c>
    </row>
    <row r="21" ht="15.75" customHeight="1">
      <c r="A21" s="30">
        <v>80.0</v>
      </c>
      <c r="B21" s="30">
        <v>4.0</v>
      </c>
      <c r="C21" s="30">
        <v>0.982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2026-03-10T04:30:42Z</dcterms:created>
  <dc:creator>PRABHURAJ METIPATIL</dc:creator>
</cp:coreProperties>
</file>